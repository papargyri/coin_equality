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amprinipapargyri/Desktop/Coin_equality/"/>
    </mc:Choice>
  </mc:AlternateContent>
  <xr:revisionPtr revIDLastSave="0" documentId="8_{CB2BCFC7-6A07-B54F-9B0F-B9036879B414}" xr6:coauthVersionLast="47" xr6:coauthVersionMax="47" xr10:uidLastSave="{00000000-0000-0000-0000-000000000000}"/>
  <bookViews>
    <workbookView xWindow="0" yWindow="680" windowWidth="29400" windowHeight="16800" xr2:uid="{00000000-000D-0000-FFFF-FFFF00000000}"/>
  </bookViews>
  <sheets>
    <sheet name="Config" sheetId="1" r:id="rId1"/>
    <sheet name="Step1_Test" sheetId="2" r:id="rId2"/>
    <sheet name="Notes" sheetId="3" r:id="rId3"/>
  </sheets>
  <definedNames>
    <definedName name="A">Step1_Test!$C$4</definedName>
    <definedName name="a_from_G">Step1_Test!$C$16</definedName>
    <definedName name="AbateCost">Step1_Test!$C$25</definedName>
    <definedName name="alpha">Config!$B$2</definedName>
    <definedName name="b_param">Step1_Test!$C$17</definedName>
    <definedName name="c_redist">Step1_Test!$C$24</definedName>
    <definedName name="damage_mode">Step1_Test!$C$8</definedName>
    <definedName name="delta">Config!$B$3</definedName>
    <definedName name="DeltaT">Step1_Test!$C$12</definedName>
    <definedName name="dKdt">Step1_Test!$C$36</definedName>
    <definedName name="dt">Config!$B$21</definedName>
    <definedName name="E">Step1_Test!$C$35</definedName>
    <definedName name="E_pot">Step1_Test!$C$26</definedName>
    <definedName name="Ecum_initial">Config!$B$19</definedName>
    <definedName name="Ecum_next">Step1_Test!$C$38</definedName>
    <definedName name="Ecum_t">Step1_Test!$C$6</definedName>
    <definedName name="eta">Config!$B$6</definedName>
    <definedName name="f">Step1_Test!$C$7</definedName>
    <definedName name="f_gdp">Config!$B$7</definedName>
    <definedName name="G_climate">Step1_Test!$C$33</definedName>
    <definedName name="Gini_fract">Config!$B$17</definedName>
    <definedName name="Gini_initial">Config!$B$16</definedName>
    <definedName name="Gini_restore">Config!$B$18</definedName>
    <definedName name="H_adj">Step1_Test!$C$19</definedName>
    <definedName name="k_climate">Config!$B$12</definedName>
    <definedName name="K_initial">Config!$B$20</definedName>
    <definedName name="K_next">Step1_Test!$C$37</definedName>
    <definedName name="K_t">Step1_Test!$C$3</definedName>
    <definedName name="L">Step1_Test!$C$5</definedName>
    <definedName name="Lambda">Step1_Test!$C$29</definedName>
    <definedName name="mu">Step1_Test!$C$28</definedName>
    <definedName name="mu_max">Config!$B$8</definedName>
    <definedName name="mu_raw">Step1_Test!$C$27</definedName>
    <definedName name="Omega">Step1_Test!$C$21</definedName>
    <definedName name="Omega_income">Step1_Test!$C$20</definedName>
    <definedName name="omega_max">Step1_Test!$C$13</definedName>
    <definedName name="omega_mean">Step1_Test!$C$32</definedName>
    <definedName name="Omega_uniform">Step1_Test!$C$14</definedName>
    <definedName name="Phi">Step1_Test!$C$18</definedName>
    <definedName name="psi1">Config!$B$13</definedName>
    <definedName name="psi2">Config!$B$14</definedName>
    <definedName name="rho">Config!$B$5</definedName>
    <definedName name="s">Config!$B$4</definedName>
    <definedName name="sigma">Config!$B$11</definedName>
    <definedName name="theta1">Config!$B$10</definedName>
    <definedName name="theta2">Config!$B$9</definedName>
    <definedName name="U">Step1_Test!$C$34</definedName>
    <definedName name="y">Step1_Test!$C$23</definedName>
    <definedName name="y_damage_halfsat">Config!$B$15</definedName>
    <definedName name="Y_damaged">Step1_Test!$C$22</definedName>
    <definedName name="y_eff">Step1_Test!$C$31</definedName>
    <definedName name="Y_gross">Step1_Test!$C$11</definedName>
    <definedName name="Y_net">Step1_Test!$C$30</definedName>
    <definedName name="ybar_gross">Step1_Test!$C$15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2" i="2"/>
  <c r="C13" i="2" s="1"/>
  <c r="C11" i="2"/>
  <c r="C14" i="2" l="1"/>
  <c r="C15" i="2"/>
  <c r="C20" i="2" s="1"/>
  <c r="C21" i="2" s="1"/>
  <c r="C22" i="2" s="1"/>
  <c r="C17" i="2"/>
  <c r="C19" i="2" s="1"/>
  <c r="C26" i="2"/>
  <c r="C27" i="2" s="1"/>
  <c r="C28" i="2" s="1"/>
  <c r="C35" i="2" s="1"/>
  <c r="C38" i="2" s="1"/>
  <c r="C23" i="2" l="1"/>
  <c r="C29" i="2"/>
  <c r="C30" i="2" s="1"/>
  <c r="C36" i="2" s="1"/>
  <c r="C37" i="2" s="1"/>
  <c r="C18" i="2"/>
  <c r="C32" i="2" s="1"/>
  <c r="C33" i="2" s="1"/>
  <c r="C24" i="2" l="1"/>
  <c r="C25" i="2" s="1"/>
  <c r="C31" i="2" s="1"/>
  <c r="C34" i="2" s="1"/>
</calcChain>
</file>

<file path=xl/sharedStrings.xml><?xml version="1.0" encoding="utf-8"?>
<sst xmlns="http://schemas.openxmlformats.org/spreadsheetml/2006/main" count="128" uniqueCount="114">
  <si>
    <t>Name</t>
  </si>
  <si>
    <t>Value</t>
  </si>
  <si>
    <t>Notes</t>
  </si>
  <si>
    <t>alpha</t>
  </si>
  <si>
    <t>Output elasticity of capital (α)</t>
  </si>
  <si>
    <t>delta</t>
  </si>
  <si>
    <t>Depreciation rate δ (yr⁻¹)</t>
  </si>
  <si>
    <t>s</t>
  </si>
  <si>
    <t>Savings rate s (from optimization initial_guess_s)</t>
  </si>
  <si>
    <t>rho</t>
  </si>
  <si>
    <t>Pure time preference ρ</t>
  </si>
  <si>
    <t>eta</t>
  </si>
  <si>
    <t>CRRA η</t>
  </si>
  <si>
    <t>f_gdp</t>
  </si>
  <si>
    <t>Redistribution fraction of GDP (fract_gdp)</t>
  </si>
  <si>
    <t>mu_max</t>
  </si>
  <si>
    <t>Max abatement fraction μ_max</t>
  </si>
  <si>
    <t>theta2</t>
  </si>
  <si>
    <t>Abatement cost exponent θ₂</t>
  </si>
  <si>
    <t>theta1</t>
  </si>
  <si>
    <t>Marginal abatement cost θ₁ (t=0)</t>
  </si>
  <si>
    <t>sigma</t>
  </si>
  <si>
    <t>Carbon intensity σ (t=0)</t>
  </si>
  <si>
    <t>k_climate</t>
  </si>
  <si>
    <t>ΔT sensitivity to Ecum</t>
  </si>
  <si>
    <t>psi1</t>
  </si>
  <si>
    <t>Linear damage coeff ψ₁</t>
  </si>
  <si>
    <t>psi2</t>
  </si>
  <si>
    <t>Quadratic damage coeff ψ₂</t>
  </si>
  <si>
    <t>y_damage_halfsat</t>
  </si>
  <si>
    <t>Half-saturation income for damage</t>
  </si>
  <si>
    <t>Gini_initial</t>
  </si>
  <si>
    <t>Initial Gini</t>
  </si>
  <si>
    <t>Gini_fract</t>
  </si>
  <si>
    <t>Step fraction for Gini</t>
  </si>
  <si>
    <t>Gini_restore</t>
  </si>
  <si>
    <t>Restoration rate for Gini</t>
  </si>
  <si>
    <t>Ecum_initial</t>
  </si>
  <si>
    <t>Initial cumulative emissions</t>
  </si>
  <si>
    <t>K_initial</t>
  </si>
  <si>
    <t>Initial capital stock</t>
  </si>
  <si>
    <t>dt</t>
  </si>
  <si>
    <t>Time step Δt (yr)</t>
  </si>
  <si>
    <t>Description</t>
  </si>
  <si>
    <t>Value / Formula</t>
  </si>
  <si>
    <t>INPUTS (JSON-sourced)</t>
  </si>
  <si>
    <t>Capital at start of period</t>
  </si>
  <si>
    <t>K_t</t>
  </si>
  <si>
    <t>from config</t>
  </si>
  <si>
    <t>Total factor productivity</t>
  </si>
  <si>
    <t>A</t>
  </si>
  <si>
    <t>placeholder</t>
  </si>
  <si>
    <t>Population / Labor</t>
  </si>
  <si>
    <t>L</t>
  </si>
  <si>
    <t>Cumulative emissions at t (tCO₂)</t>
  </si>
  <si>
    <t>Ecum_t</t>
  </si>
  <si>
    <t>Abatement allocation (decision)</t>
  </si>
  <si>
    <t>f</t>
  </si>
  <si>
    <t>Solver decision [0..1] (you choose)</t>
  </si>
  <si>
    <t>Damage mode: 'uniform' or 'income'</t>
  </si>
  <si>
    <t>damage_mode</t>
  </si>
  <si>
    <t>income</t>
  </si>
  <si>
    <t>Switch Ω version</t>
  </si>
  <si>
    <t>DERIVED</t>
  </si>
  <si>
    <t>Gross output</t>
  </si>
  <si>
    <t>Y_gross</t>
  </si>
  <si>
    <t>ΔT from Ecum</t>
  </si>
  <si>
    <t>DeltaT</t>
  </si>
  <si>
    <t>ω_max (uniform)</t>
  </si>
  <si>
    <t>omega_max</t>
  </si>
  <si>
    <t>Ω_uniform</t>
  </si>
  <si>
    <t>Omega_uniform</t>
  </si>
  <si>
    <t>ȳ (pre-damage per-capita)</t>
  </si>
  <si>
    <t>ybar_gross</t>
  </si>
  <si>
    <t>a from Gini</t>
  </si>
  <si>
    <t>a_from_G</t>
  </si>
  <si>
    <t>b parameter</t>
  </si>
  <si>
    <t>b_param</t>
  </si>
  <si>
    <t>Φ (mean damage factor)</t>
  </si>
  <si>
    <t>Phi</t>
  </si>
  <si>
    <t>H for Gini adj.</t>
  </si>
  <si>
    <t>H_adj</t>
  </si>
  <si>
    <t>Ω_income (Eq 1.2)</t>
  </si>
  <si>
    <t>Omega_income</t>
  </si>
  <si>
    <t>Aggregate damage Ω</t>
  </si>
  <si>
    <t>Omega</t>
  </si>
  <si>
    <t>Damaged output</t>
  </si>
  <si>
    <t>Y_damaged</t>
  </si>
  <si>
    <t>y (pre-abate)</t>
  </si>
  <si>
    <t>y</t>
  </si>
  <si>
    <t>c_redist</t>
  </si>
  <si>
    <t>AbateCost</t>
  </si>
  <si>
    <t>E_pot</t>
  </si>
  <si>
    <t>mu_raw</t>
  </si>
  <si>
    <t>mu</t>
  </si>
  <si>
    <t>Lambda</t>
  </si>
  <si>
    <t>Y_net</t>
  </si>
  <si>
    <t>y_eff</t>
  </si>
  <si>
    <t>ω_mean</t>
  </si>
  <si>
    <t>omega_mean</t>
  </si>
  <si>
    <t>G_climate</t>
  </si>
  <si>
    <t>Utility (CRRA, G-adjusted)</t>
  </si>
  <si>
    <t>U</t>
  </si>
  <si>
    <t>E (actual emissions)</t>
  </si>
  <si>
    <t>E</t>
  </si>
  <si>
    <t>dK/dt</t>
  </si>
  <si>
    <t>dKdt</t>
  </si>
  <si>
    <t>K_next</t>
  </si>
  <si>
    <t>Ecum_next</t>
  </si>
  <si>
    <t>Import the VBA module HYP2F1_Module.bas (provided separately) to enable the hypergeometric functions.</t>
  </si>
  <si>
    <t>Solver: objective = Step1_Test!U, variable = Step1_Test!f, constraints: 0&lt;=f&lt;=1 and y_eff&gt;0.</t>
  </si>
  <si>
    <t>Toggle 'damage_mode' between 'income' and 'uniform'.</t>
  </si>
  <si>
    <t>Set iterative calculation: Excel → Preferences → Calculation → Enable iterative calculation (1000 iters, 1E-6).</t>
  </si>
  <si>
    <t>This workbook is pre-populated from the JSON (11/7/2025). Cells sourced from JSON are highlighted light yellow.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</si>
</sst>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DE9"/>
        <bgColor rgb="FFFFFDE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50" workbookViewId="0">
      <selection activeCell="C20" sqref="C20"/>
    </sheetView>
  </sheetViews>
  <sheetFormatPr baseColWidth="10" defaultColWidth="8.83203125" defaultRowHeight="15" x14ac:dyDescent="0.2"/>
  <cols>
    <col min="1" max="1" width="24" customWidth="1"/>
    <col min="2" max="2" width="18" style="1" customWidth="1"/>
    <col min="3" max="3" width="50" customWidth="1"/>
  </cols>
  <sheetData>
    <row r="1" spans="1:3" ht="16" x14ac:dyDescent="0.2">
      <c r="A1" s="4" t="s">
        <v>0</v>
      </c>
      <c r="B1" s="5" t="s">
        <v>1</v>
      </c>
      <c r="C1" s="4" t="s">
        <v>2</v>
      </c>
    </row>
    <row r="2" spans="1:3" x14ac:dyDescent="0.2">
      <c r="A2" s="2" t="s">
        <v>3</v>
      </c>
      <c r="B2" s="3">
        <v>0.3</v>
      </c>
      <c r="C2" s="2" t="s">
        <v>4</v>
      </c>
    </row>
    <row r="3" spans="1:3" x14ac:dyDescent="0.2">
      <c r="A3" s="2" t="s">
        <v>5</v>
      </c>
      <c r="B3" s="3">
        <v>0.1</v>
      </c>
      <c r="C3" s="2" t="s">
        <v>6</v>
      </c>
    </row>
    <row r="4" spans="1:3" x14ac:dyDescent="0.2">
      <c r="A4" s="2" t="s">
        <v>7</v>
      </c>
      <c r="B4" s="3">
        <v>0.28000000000000003</v>
      </c>
      <c r="C4" s="2" t="s">
        <v>8</v>
      </c>
    </row>
    <row r="5" spans="1:3" x14ac:dyDescent="0.2">
      <c r="A5" s="2" t="s">
        <v>9</v>
      </c>
      <c r="B5" s="3">
        <v>0.01</v>
      </c>
      <c r="C5" s="2" t="s">
        <v>10</v>
      </c>
    </row>
    <row r="6" spans="1:3" x14ac:dyDescent="0.2">
      <c r="A6" s="2" t="s">
        <v>11</v>
      </c>
      <c r="B6" s="3">
        <v>0.95</v>
      </c>
      <c r="C6" s="2" t="s">
        <v>12</v>
      </c>
    </row>
    <row r="7" spans="1:3" x14ac:dyDescent="0.2">
      <c r="A7" s="2" t="s">
        <v>13</v>
      </c>
      <c r="B7" s="3">
        <v>0.02</v>
      </c>
      <c r="C7" s="2" t="s">
        <v>14</v>
      </c>
    </row>
    <row r="8" spans="1:3" x14ac:dyDescent="0.2">
      <c r="A8" s="2" t="s">
        <v>15</v>
      </c>
      <c r="B8" s="3">
        <v>1.2</v>
      </c>
      <c r="C8" s="2" t="s">
        <v>16</v>
      </c>
    </row>
    <row r="9" spans="1:3" x14ac:dyDescent="0.2">
      <c r="A9" s="2" t="s">
        <v>17</v>
      </c>
      <c r="B9" s="3">
        <v>2.6</v>
      </c>
      <c r="C9" s="2" t="s">
        <v>18</v>
      </c>
    </row>
    <row r="10" spans="1:3" x14ac:dyDescent="0.2">
      <c r="A10" s="2" t="s">
        <v>19</v>
      </c>
      <c r="B10" s="3">
        <v>695.17738499999996</v>
      </c>
      <c r="C10" s="2" t="s">
        <v>20</v>
      </c>
    </row>
    <row r="11" spans="1:3" x14ac:dyDescent="0.2">
      <c r="A11" s="2" t="s">
        <v>21</v>
      </c>
      <c r="B11" s="3">
        <v>2.9135499999999998E-4</v>
      </c>
      <c r="C11" s="2" t="s">
        <v>22</v>
      </c>
    </row>
    <row r="12" spans="1:3" x14ac:dyDescent="0.2">
      <c r="A12" s="2" t="s">
        <v>23</v>
      </c>
      <c r="B12" s="3">
        <v>4.9999999999999999E-13</v>
      </c>
      <c r="C12" s="2" t="s">
        <v>24</v>
      </c>
    </row>
    <row r="13" spans="1:3" x14ac:dyDescent="0.2">
      <c r="A13" s="2" t="s">
        <v>25</v>
      </c>
      <c r="B13" s="3">
        <v>0</v>
      </c>
      <c r="C13" s="2" t="s">
        <v>26</v>
      </c>
    </row>
    <row r="14" spans="1:3" x14ac:dyDescent="0.2">
      <c r="A14" s="2" t="s">
        <v>27</v>
      </c>
      <c r="B14" s="3">
        <v>6.9340000000000001E-3</v>
      </c>
      <c r="C14" s="2" t="s">
        <v>28</v>
      </c>
    </row>
    <row r="15" spans="1:3" x14ac:dyDescent="0.2">
      <c r="A15" s="2" t="s">
        <v>29</v>
      </c>
      <c r="B15" s="3">
        <v>10000</v>
      </c>
      <c r="C15" s="2" t="s">
        <v>30</v>
      </c>
    </row>
    <row r="16" spans="1:3" x14ac:dyDescent="0.2">
      <c r="A16" s="2" t="s">
        <v>31</v>
      </c>
      <c r="B16" s="3">
        <v>0.67</v>
      </c>
      <c r="C16" s="2" t="s">
        <v>32</v>
      </c>
    </row>
    <row r="17" spans="1:3" x14ac:dyDescent="0.2">
      <c r="A17" s="2" t="s">
        <v>33</v>
      </c>
      <c r="B17" s="3">
        <v>0</v>
      </c>
      <c r="C17" s="2" t="s">
        <v>34</v>
      </c>
    </row>
    <row r="18" spans="1:3" x14ac:dyDescent="0.2">
      <c r="A18" s="2" t="s">
        <v>35</v>
      </c>
      <c r="B18" s="3">
        <v>0</v>
      </c>
      <c r="C18" s="2" t="s">
        <v>36</v>
      </c>
    </row>
    <row r="19" spans="1:3" x14ac:dyDescent="0.2">
      <c r="A19" s="2" t="s">
        <v>37</v>
      </c>
      <c r="B19" s="3">
        <v>2494300000000</v>
      </c>
      <c r="C19" s="2" t="s">
        <v>38</v>
      </c>
    </row>
    <row r="20" spans="1:3" x14ac:dyDescent="0.2">
      <c r="A20" s="2" t="s">
        <v>39</v>
      </c>
      <c r="B20" s="3">
        <v>295000000000000</v>
      </c>
      <c r="C20" s="2" t="s">
        <v>40</v>
      </c>
    </row>
    <row r="21" spans="1:3" x14ac:dyDescent="0.2">
      <c r="A21" s="2" t="s">
        <v>41</v>
      </c>
      <c r="B21" s="3">
        <v>1</v>
      </c>
      <c r="C21" s="2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36" customWidth="1"/>
    <col min="4" max="4" width="42" customWidth="1"/>
  </cols>
  <sheetData>
    <row r="1" spans="1:4" ht="16" x14ac:dyDescent="0.2">
      <c r="A1" s="4" t="s">
        <v>43</v>
      </c>
      <c r="B1" s="4" t="s">
        <v>0</v>
      </c>
      <c r="C1" s="4" t="s">
        <v>44</v>
      </c>
      <c r="D1" s="4" t="s">
        <v>2</v>
      </c>
    </row>
    <row r="2" spans="1:4" x14ac:dyDescent="0.2">
      <c r="A2" s="2" t="s">
        <v>45</v>
      </c>
      <c r="B2" s="2"/>
      <c r="C2" s="2"/>
      <c r="D2" s="2"/>
    </row>
    <row r="3" spans="1:4" x14ac:dyDescent="0.2">
      <c r="A3" s="2" t="s">
        <v>46</v>
      </c>
      <c r="B3" s="2" t="s">
        <v>47</v>
      </c>
      <c r="C3" s="6"/>
      <c r="D3" s="2" t="s">
        <v>48</v>
      </c>
    </row>
    <row r="4" spans="1:4" x14ac:dyDescent="0.2">
      <c r="A4" s="2" t="s">
        <v>49</v>
      </c>
      <c r="B4" s="2" t="s">
        <v>50</v>
      </c>
      <c r="C4" s="6">
        <v>739.61900000000003</v>
      </c>
      <c r="D4" s="2" t="s">
        <v>51</v>
      </c>
    </row>
    <row r="5" spans="1:4" x14ac:dyDescent="0.2">
      <c r="A5" s="2" t="s">
        <v>52</v>
      </c>
      <c r="B5" s="2" t="s">
        <v>53</v>
      </c>
      <c r="C5" s="6">
        <v>7752000000</v>
      </c>
      <c r="D5" s="2" t="s">
        <v>51</v>
      </c>
    </row>
    <row r="6" spans="1:4" x14ac:dyDescent="0.2">
      <c r="A6" s="2" t="s">
        <v>54</v>
      </c>
      <c r="B6" s="2" t="s">
        <v>55</v>
      </c>
      <c r="C6" s="6"/>
      <c r="D6" s="2"/>
    </row>
    <row r="7" spans="1:4" x14ac:dyDescent="0.2">
      <c r="A7" s="2" t="s">
        <v>56</v>
      </c>
      <c r="B7" s="2" t="s">
        <v>57</v>
      </c>
      <c r="C7" s="2">
        <v>0.1</v>
      </c>
      <c r="D7" s="2" t="s">
        <v>58</v>
      </c>
    </row>
    <row r="8" spans="1:4" x14ac:dyDescent="0.2">
      <c r="A8" s="2" t="s">
        <v>59</v>
      </c>
      <c r="B8" s="2" t="s">
        <v>60</v>
      </c>
      <c r="C8" s="6" t="s">
        <v>61</v>
      </c>
      <c r="D8" s="2" t="s">
        <v>62</v>
      </c>
    </row>
    <row r="10" spans="1:4" ht="16" x14ac:dyDescent="0.2">
      <c r="A10" s="7" t="s">
        <v>63</v>
      </c>
      <c r="B10" s="8"/>
      <c r="C10" s="8"/>
      <c r="D10" s="9"/>
    </row>
    <row r="11" spans="1:4" x14ac:dyDescent="0.2">
      <c r="A11" s="2" t="s">
        <v>64</v>
      </c>
      <c r="B11" s="2" t="s">
        <v>65</v>
      </c>
      <c r="C11" s="2">
        <f>A * K_t^alpha * L^(1-alpha)</f>
        <v>0</v>
      </c>
      <c r="D11" s="2"/>
    </row>
    <row r="12" spans="1:4" x14ac:dyDescent="0.2">
      <c r="A12" s="2" t="s">
        <v>66</v>
      </c>
      <c r="B12" s="2" t="s">
        <v>67</v>
      </c>
      <c r="C12" s="2">
        <f>k_climate * Ecum_t</f>
        <v>0</v>
      </c>
      <c r="D12" s="2"/>
    </row>
    <row r="13" spans="1:4" x14ac:dyDescent="0.2">
      <c r="A13" s="2" t="s">
        <v>68</v>
      </c>
      <c r="B13" s="2" t="s">
        <v>69</v>
      </c>
      <c r="C13" s="2">
        <f>PSI1*DeltaT + PSI2*DeltaT^2</f>
        <v>0</v>
      </c>
      <c r="D13" s="2"/>
    </row>
    <row r="14" spans="1:4" x14ac:dyDescent="0.2">
      <c r="A14" s="2" t="s">
        <v>70</v>
      </c>
      <c r="B14" s="2" t="s">
        <v>71</v>
      </c>
      <c r="C14" s="2">
        <f>MAX(0, MIN(1, omega_max))</f>
        <v>0</v>
      </c>
      <c r="D14" s="2"/>
    </row>
    <row r="15" spans="1:4" x14ac:dyDescent="0.2">
      <c r="A15" s="2" t="s">
        <v>72</v>
      </c>
      <c r="B15" s="2" t="s">
        <v>73</v>
      </c>
      <c r="C15" s="2">
        <f>Y_gross / L</f>
        <v>0</v>
      </c>
      <c r="D15" s="2"/>
    </row>
    <row r="16" spans="1:4" x14ac:dyDescent="0.2">
      <c r="A16" s="2" t="s">
        <v>74</v>
      </c>
      <c r="B16" s="2" t="s">
        <v>75</v>
      </c>
      <c r="C16" s="2">
        <f>(1 + 1/Gini_initial)/2</f>
        <v>1.2462686567164178</v>
      </c>
      <c r="D16" s="2"/>
    </row>
    <row r="17" spans="1:4" x14ac:dyDescent="0.2">
      <c r="A17" s="2" t="s">
        <v>76</v>
      </c>
      <c r="B17" s="2" t="s">
        <v>77</v>
      </c>
      <c r="C17" s="2" t="e">
        <f>y_damage_halfsat * a_from_G / ( ybar_gross * (a_from_G - 1) )</f>
        <v>#DIV/0!</v>
      </c>
      <c r="D17" s="2"/>
    </row>
    <row r="18" spans="1:4" x14ac:dyDescent="0.2">
      <c r="A18" s="2" t="s">
        <v>78</v>
      </c>
      <c r="B18" s="2" t="s">
        <v>79</v>
      </c>
      <c r="C18" s="2">
        <f ca="1">IFERROR(HYP2F1(a_from_G-1, 1, a_from_G, -b_param), 1)</f>
        <v>1</v>
      </c>
      <c r="D18" s="2"/>
    </row>
    <row r="19" spans="1:4" x14ac:dyDescent="0.2">
      <c r="A19" s="2" t="s">
        <v>80</v>
      </c>
      <c r="B19" s="2" t="s">
        <v>81</v>
      </c>
      <c r="C19" s="2">
        <f ca="1">IFERROR(HYP2F1(1, 2*a_from_G-1, 2*a_from_G, -b_param), 1)</f>
        <v>1</v>
      </c>
      <c r="D19" s="2"/>
    </row>
    <row r="20" spans="1:4" x14ac:dyDescent="0.2">
      <c r="A20" s="2" t="s">
        <v>82</v>
      </c>
      <c r="B20" s="2" t="s">
        <v>83</v>
      </c>
      <c r="C20" s="2">
        <f ca="1">IFERROR(omega_max * ( y_damage_halfsat / ybar_gross ) * HYP2F1(1, a_from_G, a_from_G+1, -b_param), Omega_uniform)</f>
        <v>0</v>
      </c>
      <c r="D20" s="2"/>
    </row>
    <row r="21" spans="1:4" x14ac:dyDescent="0.2">
      <c r="A21" s="2" t="s">
        <v>84</v>
      </c>
      <c r="B21" s="2" t="s">
        <v>85</v>
      </c>
      <c r="C21" s="2">
        <f ca="1">IF(LOWER(damage_mode)="income", Omega_income, Omega_uniform)</f>
        <v>0</v>
      </c>
      <c r="D21" s="2"/>
    </row>
    <row r="22" spans="1:4" x14ac:dyDescent="0.2">
      <c r="A22" s="2" t="s">
        <v>86</v>
      </c>
      <c r="B22" s="2" t="s">
        <v>87</v>
      </c>
      <c r="C22" s="2">
        <f ca="1">Y_gross*(1-Omega)</f>
        <v>0</v>
      </c>
      <c r="D22" s="2"/>
    </row>
    <row r="23" spans="1:4" x14ac:dyDescent="0.2">
      <c r="A23" s="2" t="s">
        <v>88</v>
      </c>
      <c r="B23" s="2" t="s">
        <v>89</v>
      </c>
      <c r="C23" s="2">
        <f ca="1">(1 - s) * Y_damaged / L</f>
        <v>0</v>
      </c>
      <c r="D23" s="2"/>
    </row>
    <row r="24" spans="1:4" x14ac:dyDescent="0.2">
      <c r="A24" s="2" t="s">
        <v>90</v>
      </c>
      <c r="B24" s="2" t="s">
        <v>90</v>
      </c>
      <c r="C24" s="2">
        <f ca="1">y * f_gdp</f>
        <v>0</v>
      </c>
      <c r="D24" s="2"/>
    </row>
    <row r="25" spans="1:4" x14ac:dyDescent="0.2">
      <c r="A25" s="2" t="s">
        <v>91</v>
      </c>
      <c r="B25" s="2" t="s">
        <v>91</v>
      </c>
      <c r="C25" s="2">
        <f ca="1">f * c_redist * L</f>
        <v>0</v>
      </c>
      <c r="D25" s="2"/>
    </row>
    <row r="26" spans="1:4" x14ac:dyDescent="0.2">
      <c r="A26" s="2" t="s">
        <v>92</v>
      </c>
      <c r="B26" s="2" t="s">
        <v>92</v>
      </c>
      <c r="C26" s="2">
        <f>MAX(0, sigma * Y_gross)</f>
        <v>0</v>
      </c>
      <c r="D26" s="2"/>
    </row>
    <row r="27" spans="1:4" x14ac:dyDescent="0.2">
      <c r="A27" s="2" t="s">
        <v>93</v>
      </c>
      <c r="B27" s="2" t="s">
        <v>93</v>
      </c>
      <c r="C27" s="2">
        <f>IF(E_pot=0,0, ((AbateCost*theta2)/(E_pot*theta1))^(1/theta2))</f>
        <v>0</v>
      </c>
      <c r="D27" s="2"/>
    </row>
    <row r="28" spans="1:4" x14ac:dyDescent="0.2">
      <c r="A28" s="2" t="s">
        <v>94</v>
      </c>
      <c r="B28" s="2" t="s">
        <v>94</v>
      </c>
      <c r="C28" s="2">
        <f>MAX(0, MIN(mu_max, mu_raw))</f>
        <v>0</v>
      </c>
      <c r="D28" s="2"/>
    </row>
    <row r="29" spans="1:4" x14ac:dyDescent="0.2">
      <c r="A29" s="2" t="s">
        <v>95</v>
      </c>
      <c r="B29" s="2" t="s">
        <v>95</v>
      </c>
      <c r="C29" s="2">
        <f ca="1">IF(Y_damaged=0,0, AbateCost/Y_damaged)</f>
        <v>0</v>
      </c>
      <c r="D29" s="2"/>
    </row>
    <row r="30" spans="1:4" x14ac:dyDescent="0.2">
      <c r="A30" s="2" t="s">
        <v>96</v>
      </c>
      <c r="B30" s="2" t="s">
        <v>96</v>
      </c>
      <c r="C30" s="2">
        <f ca="1">Y_damaged*(1-Lambda)</f>
        <v>0</v>
      </c>
      <c r="D30" s="2"/>
    </row>
    <row r="31" spans="1:4" x14ac:dyDescent="0.2">
      <c r="A31" s="2" t="s">
        <v>97</v>
      </c>
      <c r="B31" s="2" t="s">
        <v>97</v>
      </c>
      <c r="C31" s="2">
        <f ca="1">y - AbateCost/L</f>
        <v>0</v>
      </c>
      <c r="D31" s="2"/>
    </row>
    <row r="32" spans="1:4" x14ac:dyDescent="0.2">
      <c r="A32" s="2" t="s">
        <v>98</v>
      </c>
      <c r="B32" s="2" t="s">
        <v>99</v>
      </c>
      <c r="C32" s="2">
        <f ca="1">omega_max * Phi</f>
        <v>0</v>
      </c>
      <c r="D32" s="2"/>
    </row>
    <row r="33" spans="1:4" x14ac:dyDescent="0.2">
      <c r="A33" s="2" t="s">
        <v>100</v>
      </c>
      <c r="B33" s="2" t="s">
        <v>100</v>
      </c>
      <c r="C33" s="2">
        <f ca="1">1 - (1 - Gini_initial) * (1 - omega_max * H_adj) / (1 - omega_mean)</f>
        <v>0.67</v>
      </c>
      <c r="D33" s="2"/>
    </row>
    <row r="34" spans="1:4" x14ac:dyDescent="0.2">
      <c r="A34" s="2" t="s">
        <v>101</v>
      </c>
      <c r="B34" s="2" t="s">
        <v>102</v>
      </c>
      <c r="C34" s="2">
        <f ca="1">IF(eta=1, LN(MAX(0.000000000001,y_eff)) + LN((1-G_climate)/(1+G_climate)) + 2*G_climate/(1+G_climate),  ( y_eff^(1-eta)/(1-eta) ) * ( ( (1+G_climate)^eta * (1-G_climate)^(1-eta) ) / (1 + G_climate*(2*eta-1)) )^(1/(1-eta)) )</f>
        <v>0</v>
      </c>
      <c r="D34" s="2"/>
    </row>
    <row r="35" spans="1:4" x14ac:dyDescent="0.2">
      <c r="A35" s="2" t="s">
        <v>103</v>
      </c>
      <c r="B35" s="2" t="s">
        <v>104</v>
      </c>
      <c r="C35" s="2">
        <f>sigma * (1 - mu) * Y_gross</f>
        <v>0</v>
      </c>
      <c r="D35" s="2"/>
    </row>
    <row r="36" spans="1:4" x14ac:dyDescent="0.2">
      <c r="A36" s="2" t="s">
        <v>105</v>
      </c>
      <c r="B36" s="2" t="s">
        <v>106</v>
      </c>
      <c r="C36" s="2">
        <f ca="1">s*Y_net - delta*K_t</f>
        <v>0</v>
      </c>
      <c r="D36" s="2"/>
    </row>
    <row r="37" spans="1:4" x14ac:dyDescent="0.2">
      <c r="A37" s="2" t="s">
        <v>107</v>
      </c>
      <c r="B37" s="2" t="s">
        <v>107</v>
      </c>
      <c r="C37" s="2">
        <f ca="1">K_t + dt*dKdt</f>
        <v>0</v>
      </c>
      <c r="D37" s="2"/>
    </row>
    <row r="38" spans="1:4" x14ac:dyDescent="0.2">
      <c r="A38" s="2" t="s">
        <v>108</v>
      </c>
      <c r="B38" s="2" t="s">
        <v>108</v>
      </c>
      <c r="C38" s="2">
        <f>MAX(0, Ecum_t + dt*E)</f>
        <v>0</v>
      </c>
      <c r="D38" s="2"/>
    </row>
  </sheetData>
  <mergeCells count="1"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zoomScale="44" workbookViewId="0">
      <selection activeCell="A7" sqref="A7"/>
    </sheetView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t="s">
        <v>113</v>
      </c>
    </row>
    <row r="2" spans="1:1" x14ac:dyDescent="0.2">
      <c r="A2" t="s">
        <v>109</v>
      </c>
    </row>
    <row r="3" spans="1:1" x14ac:dyDescent="0.2">
      <c r="A3" t="s">
        <v>110</v>
      </c>
    </row>
    <row r="4" spans="1:1" x14ac:dyDescent="0.2">
      <c r="A4" t="s">
        <v>111</v>
      </c>
    </row>
    <row r="5" spans="1:1" x14ac:dyDescent="0.2">
      <c r="A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54</vt:i4>
      </vt:variant>
    </vt:vector>
  </HeadingPairs>
  <TitlesOfParts>
    <vt:vector size="57" baseType="lpstr">
      <vt:lpstr>Config</vt:lpstr>
      <vt:lpstr>Step1_Test</vt:lpstr>
      <vt:lpstr>Notes</vt:lpstr>
      <vt:lpstr>A</vt:lpstr>
      <vt:lpstr>a_from_G</vt:lpstr>
      <vt:lpstr>AbateCost</vt:lpstr>
      <vt:lpstr>alpha</vt:lpstr>
      <vt:lpstr>b_param</vt:lpstr>
      <vt:lpstr>c_redist</vt:lpstr>
      <vt:lpstr>damage_mode</vt:lpstr>
      <vt:lpstr>delta</vt:lpstr>
      <vt:lpstr>DeltaT</vt:lpstr>
      <vt:lpstr>dKdt</vt:lpstr>
      <vt:lpstr>dt</vt:lpstr>
      <vt:lpstr>E</vt:lpstr>
      <vt:lpstr>E_pot</vt:lpstr>
      <vt:lpstr>Ecum_initial</vt:lpstr>
      <vt:lpstr>Ecum_next</vt:lpstr>
      <vt:lpstr>Ecum_t</vt:lpstr>
      <vt:lpstr>eta</vt:lpstr>
      <vt:lpstr>f</vt:lpstr>
      <vt:lpstr>f_gdp</vt:lpstr>
      <vt:lpstr>G_climate</vt:lpstr>
      <vt:lpstr>Gini_fract</vt:lpstr>
      <vt:lpstr>Gini_initial</vt:lpstr>
      <vt:lpstr>Gini_restore</vt:lpstr>
      <vt:lpstr>H_adj</vt:lpstr>
      <vt:lpstr>k_climate</vt:lpstr>
      <vt:lpstr>K_initial</vt:lpstr>
      <vt:lpstr>K_next</vt:lpstr>
      <vt:lpstr>K_t</vt:lpstr>
      <vt:lpstr>L</vt:lpstr>
      <vt:lpstr>Lambda</vt:lpstr>
      <vt:lpstr>mu</vt:lpstr>
      <vt:lpstr>mu_max</vt:lpstr>
      <vt:lpstr>mu_raw</vt:lpstr>
      <vt:lpstr>Omega</vt:lpstr>
      <vt:lpstr>Omega_income</vt:lpstr>
      <vt:lpstr>omega_max</vt:lpstr>
      <vt:lpstr>omega_mean</vt:lpstr>
      <vt:lpstr>Omega_uniform</vt:lpstr>
      <vt:lpstr>Phi</vt:lpstr>
      <vt:lpstr>psi1</vt:lpstr>
      <vt:lpstr>psi2</vt:lpstr>
      <vt:lpstr>rho</vt:lpstr>
      <vt:lpstr>s</vt:lpstr>
      <vt:lpstr>sigma</vt:lpstr>
      <vt:lpstr>theta1</vt:lpstr>
      <vt:lpstr>theta2</vt:lpstr>
      <vt:lpstr>U</vt:lpstr>
      <vt:lpstr>y</vt:lpstr>
      <vt:lpstr>y_damage_halfsat</vt:lpstr>
      <vt:lpstr>Y_damaged</vt:lpstr>
      <vt:lpstr>y_eff</vt:lpstr>
      <vt:lpstr>Y_gross</vt:lpstr>
      <vt:lpstr>Y_net</vt:lpstr>
      <vt:lpstr>ybar_gross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Lamprini Papargyri</cp:lastModifiedBy>
  <dcterms:created xsi:type="dcterms:W3CDTF">2025-11-07T23:22:10Z</dcterms:created>
  <dcterms:modified xsi:type="dcterms:W3CDTF">2025-11-07T23:45:12Z</dcterms:modified>
</cp:coreProperties>
</file>